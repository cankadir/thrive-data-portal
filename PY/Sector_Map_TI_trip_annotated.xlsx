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cank\projects\thrive-data-portal\PY\"/>
    </mc:Choice>
  </mc:AlternateContent>
  <xr:revisionPtr revIDLastSave="0" documentId="13_ncr:1_{7F8C7B34-FF3A-4645-96BF-1D9713AD67E5}" xr6:coauthVersionLast="47" xr6:coauthVersionMax="47" xr10:uidLastSave="{00000000-0000-0000-0000-000000000000}"/>
  <bookViews>
    <workbookView xWindow="28680" yWindow="-120" windowWidth="29040" windowHeight="15720" xr2:uid="{00000000-000D-0000-FFFF-FFFF00000000}"/>
  </bookViews>
  <sheets>
    <sheet name="Sector Map T+I" sheetId="4" r:id="rId1"/>
    <sheet name="Trip match notes" sheetId="9" r:id="rId2"/>
  </sheets>
  <calcPr calcId="0"/>
</workbook>
</file>

<file path=xl/sharedStrings.xml><?xml version="1.0" encoding="utf-8"?>
<sst xmlns="http://schemas.openxmlformats.org/spreadsheetml/2006/main" count="274" uniqueCount="195">
  <si>
    <t>status</t>
  </si>
  <si>
    <t>in progress</t>
  </si>
  <si>
    <t>points</t>
  </si>
  <si>
    <t>not started</t>
  </si>
  <si>
    <t xml:space="preserve">Thrive? </t>
  </si>
  <si>
    <t>topic</t>
  </si>
  <si>
    <t>source notes</t>
  </si>
  <si>
    <t xml:space="preserve">link </t>
  </si>
  <si>
    <t xml:space="preserve">who? </t>
  </si>
  <si>
    <t>dates</t>
  </si>
  <si>
    <t xml:space="preserve">notes </t>
  </si>
  <si>
    <t>high</t>
  </si>
  <si>
    <t>medium</t>
  </si>
  <si>
    <t>studio 2263</t>
  </si>
  <si>
    <t>?</t>
  </si>
  <si>
    <t>data</t>
  </si>
  <si>
    <t>To Do</t>
  </si>
  <si>
    <t>Studio 2263</t>
  </si>
  <si>
    <t>Animal collisions</t>
  </si>
  <si>
    <t>Background, context, boundaries + mask layers</t>
  </si>
  <si>
    <t>Transportation + Infrastructure (map draft)</t>
  </si>
  <si>
    <t>Central Story: Can people, goods, and information move efficiently across our region to support economic competitiveness and quality of life?
(this section focuses on the built environment)</t>
  </si>
  <si>
    <t>Chapter</t>
  </si>
  <si>
    <t xml:space="preserve">how will we use it? </t>
  </si>
  <si>
    <t>priority</t>
  </si>
  <si>
    <t xml:space="preserve">cross sector relevance? </t>
  </si>
  <si>
    <t>trip match</t>
  </si>
  <si>
    <t>trip layers (sublayer)</t>
  </si>
  <si>
    <t>trip evidence</t>
  </si>
  <si>
    <t>trip gap</t>
  </si>
  <si>
    <t>Freight Mobility</t>
  </si>
  <si>
    <t>Where are freight bottlenecks, and what investments will improve regional competitiveness?</t>
  </si>
  <si>
    <t xml:space="preserve">Freight infrastructure (ports, transfer stations, locks, etc) </t>
  </si>
  <si>
    <t xml:space="preserve">data from TRIP </t>
  </si>
  <si>
    <t xml:space="preserve">point locations w/ varied symbols </t>
  </si>
  <si>
    <t>id current data, style</t>
  </si>
  <si>
    <t>in TRIP</t>
  </si>
  <si>
    <t>Major Ports: US Waterway Data, 'Navigation Data Center'; Docks: 'nearly 12,000 ports-and-waterway facilities'; Locks: Lock Performance Monitoring System; Intermodal Transfer Facilities, Non Retail Shipping Facilities, Rail Freight Stations</t>
  </si>
  <si>
    <t>Truck Infrastructure: parking and Rest Areas</t>
  </si>
  <si>
    <t xml:space="preserve">is this in TRIP? </t>
  </si>
  <si>
    <t>GT / Tony</t>
  </si>
  <si>
    <t>Truck parking in TRIP - not rest areas, though that should be easy to compile</t>
  </si>
  <si>
    <t>partial</t>
  </si>
  <si>
    <t>Truck Parking (1)</t>
  </si>
  <si>
    <t>Truck Parking: 'truck parking locations obtained from TDOT, USDOT, and FHWA'</t>
  </si>
  <si>
    <t>no rest areas and no truck stops, exactly the gap the sheet's own note flags</t>
  </si>
  <si>
    <t>Origin + Destination: Freight Movement</t>
  </si>
  <si>
    <t>CFS</t>
  </si>
  <si>
    <t xml:space="preserve">flow map </t>
  </si>
  <si>
    <t>id data / make flow map</t>
  </si>
  <si>
    <t>GT / Tony / Studio 2263</t>
  </si>
  <si>
    <t>will this go far outside the Thrive region?  YES - the flows are from subarea to subrea - check out this explanatory storymap - this info is better represented graphically</t>
  </si>
  <si>
    <t>CFS: 'the primary source of national and state-level data on domestic freight shipments'; FAF integrates CFS with other sources</t>
  </si>
  <si>
    <t>Manufacturing / Industrial zones</t>
  </si>
  <si>
    <t xml:space="preserve">in TRIP? </t>
  </si>
  <si>
    <t>include with Origin + Destination as background context</t>
  </si>
  <si>
    <t>Manufacturing locations in TRIP - no industrial zones. Industrial zoning would be the proxy but tough to compile for the entire region - TG</t>
  </si>
  <si>
    <t>Manufacturing Facilities (154)</t>
  </si>
  <si>
    <t>Manufacturing Facilities: 'manufacturing facilities (NAICS Codes 31, 32...'</t>
  </si>
  <si>
    <t>points only, no industrial zone polygons. Same gap the sheet notes</t>
  </si>
  <si>
    <t xml:space="preserve">Alternative Transportation + Multi modal Options (for freight) </t>
  </si>
  <si>
    <t xml:space="preserve">TRIP has road freight tonnage, water tonnage estimates, airport freight amounts
+ locks, navigable waterways, ports, rail lines, etc. </t>
  </si>
  <si>
    <t xml:space="preserve">map </t>
  </si>
  <si>
    <t xml:space="preserve">Map tonnage from TRIP on water + roads, + rail netework. include infrastructure (locks, rail) </t>
  </si>
  <si>
    <t xml:space="preserve">TRIP has road freight tonnage, 
water tonnage estimates, 
airport freight amounts, 
rail line locations (not tonnage though) </t>
  </si>
  <si>
    <t>proxy</t>
  </si>
  <si>
    <t>Waterway Shipping Links (Commodity Tonnage) (112); Air Cargo (2024 - 6 2025) (75); Airports (13); Rail Network (120); Rail Freight Stations (149); Navigable Waterways (37)</t>
  </si>
  <si>
    <t>Link Tonnages 2023 'waterway shipping links'; Air Cargo 2023-2025 Chattanooga and other airports; BTS rail network</t>
  </si>
  <si>
    <t>single modes shown side by side, no combined multimodal measure</t>
  </si>
  <si>
    <t xml:space="preserve">Emissions </t>
  </si>
  <si>
    <t xml:space="preserve">In Studio 2263 dropbox </t>
  </si>
  <si>
    <t>https://www.epa.gov/air-emissions-inventories/2020-nei-supporting-data-and-summaries</t>
  </si>
  <si>
    <t>add to ESRI maps</t>
  </si>
  <si>
    <t>GT / Tony + Studio 2263</t>
  </si>
  <si>
    <t xml:space="preserve">air quality
(CP or RG) </t>
  </si>
  <si>
    <t>Truck / freight emissions Geo-TIDE Tool: https://github.com/mcsc-impact-climate/Geo-TIDE-datasets?tab=readme-ov-file#geo-tide
MIT MCSC Geo-TIDE Tool:  translates raw FAF5, BTS, and EPA datasets into ready-to-map regional freight flow and emission intensity layers. download tprocessed geospatial files from repository on Zenodo.
NEI (National Emissions Inventory): facility point-source level: EPA Air Emissions Inventories.
GHGRP (Greenhouse Gas Reporting Program): large US facilities. EPA FLIGHT
CAMPD (Clean Air Markets Program Data): hourly + annual emissions: EPA CAMPD Dashboard.
eGRID: emissions + rates) electric power generated: EPA eGRID Page.</t>
  </si>
  <si>
    <t>not in TRIP</t>
  </si>
  <si>
    <t>no layer mentions emissions</t>
  </si>
  <si>
    <t>EPA NEI work is the source named in the sheet, not TRIP</t>
  </si>
  <si>
    <t>Freight traffic: non-permitted / off truck route</t>
  </si>
  <si>
    <t xml:space="preserve">show non truck routes with truck traffic by volume? </t>
  </si>
  <si>
    <t>how important? possible?</t>
  </si>
  <si>
    <t>no permit or route-designation field anywhere</t>
  </si>
  <si>
    <t>HPMS and VMT give volume, not truck route legality</t>
  </si>
  <si>
    <t>Transportation Network</t>
  </si>
  <si>
    <t>How well are people connected to jobs, services, and one another?</t>
  </si>
  <si>
    <t>speed data is not publicly available - Average Annual Daily Traffic is a proxy for congestion - will look into how far back or foward I can go. We have a few dates already, I believe - TG</t>
  </si>
  <si>
    <t>Regional Traffic Counts: GDOT/TDOT/ALDOT counts 2022-2024, AADT; VMT: 'annual vehicle miles travelled'; road network layers carry AADT and % peak trucks</t>
  </si>
  <si>
    <t>volume only, no speed or delay. The sheet says speed data is not public</t>
  </si>
  <si>
    <t xml:space="preserve">Alternative Transportation + Multi modal Options (for people) </t>
  </si>
  <si>
    <t xml:space="preserve">Chattanooga mass transit (CARTA) + downtown Chattanooga bike rentals. 
Some other counties have shuttles that can be requsted. 
 some cyclists using bike paths for getting to work using their bike. </t>
  </si>
  <si>
    <t>show existing options (bike paths) + infrastructure for alternative modes</t>
  </si>
  <si>
    <t xml:space="preserve">help us find what data there is? </t>
  </si>
  <si>
    <t xml:space="preserve">Chattanooga mass transit (CARTA) might share routes 
Downtown Chattanooga has bike rentals. 
Other counties have shuttles that can be requsted. 
Some cyclists using bike paths for getting to work using their bike. </t>
  </si>
  <si>
    <t>no transit, bicycle or pedestrian facility layer</t>
  </si>
  <si>
    <t>CARTA routes and bike paths are named in the sheet as separate work</t>
  </si>
  <si>
    <t>Commute times</t>
  </si>
  <si>
    <t>- B08303 Travel Time to Work: https://www.socialexplorer.com/home</t>
  </si>
  <si>
    <t>create census study for thrive secondary bouandray</t>
  </si>
  <si>
    <t>ACS Travel Time (119)</t>
  </si>
  <si>
    <t>ACS Travel Time (B08303): 'workers' place of residence by commute length', tract / county / region</t>
  </si>
  <si>
    <t>Commuting Patterns: Origin + Destination (people)</t>
  </si>
  <si>
    <t>ACS Commute Mode (102); ACS Drive Alone (98)</t>
  </si>
  <si>
    <t>ACS Commute Mode (B08301): 'workers' place of residence by mode of commute'</t>
  </si>
  <si>
    <t>mode split by home tract, not home-to-work flows. No LODES or county-to-county pairs</t>
  </si>
  <si>
    <t>Safety</t>
  </si>
  <si>
    <t>Where are transportation safety challenges, and who is most affected?</t>
  </si>
  <si>
    <t xml:space="preserve">Crash Data , traffic + pedestrian </t>
  </si>
  <si>
    <t>review / update design / add note to design about AL</t>
  </si>
  <si>
    <t>TN and GA DOT crash files, FARS-derived fatal MVA, TDOT pedestrian crashes, FHWA truck crashes by county</t>
  </si>
  <si>
    <t>no Alabama crash layer, and no pedestrian layer for GA or AL</t>
  </si>
  <si>
    <t xml:space="preserve">is this possible to get? </t>
  </si>
  <si>
    <t xml:space="preserve">(NTA) </t>
  </si>
  <si>
    <t>no collision layer other than vehicle and pedestrian</t>
  </si>
  <si>
    <t>source still to be found, per the sheet</t>
  </si>
  <si>
    <t>Infrastructure Investment</t>
  </si>
  <si>
    <t>Where should limited infrastructure dollars be invested first?</t>
  </si>
  <si>
    <t xml:space="preserve">zoning ? infrastructure planning? </t>
  </si>
  <si>
    <t>https://library.municode.com/</t>
  </si>
  <si>
    <t xml:space="preserve">remove from list? or decide alternatives? </t>
  </si>
  <si>
    <t xml:space="preserve">removing? </t>
  </si>
  <si>
    <t>no zoning or land use layer</t>
  </si>
  <si>
    <t>municode link in the sheet is not data</t>
  </si>
  <si>
    <t>STIPs?</t>
  </si>
  <si>
    <t xml:space="preserve">Draft from TRIP is in ESRI hub and on map </t>
  </si>
  <si>
    <t xml:space="preserve">add to map/ style </t>
  </si>
  <si>
    <t>AL STIP (155); TN STIP (158); GA STIP (156)</t>
  </si>
  <si>
    <t>AL: 'digitized from maps obtained from ALDOT'; TN and GA: project locations pulled from the state DOT sites</t>
  </si>
  <si>
    <t>LTRP?</t>
  </si>
  <si>
    <t>id and get the data</t>
  </si>
  <si>
    <t>GT / Tony?</t>
  </si>
  <si>
    <t>no layer or description mentions a long range transportation plan</t>
  </si>
  <si>
    <t>TRIP's own LTRP is published separately from this service</t>
  </si>
  <si>
    <t>Broadband &amp; Digital Infrastructure</t>
  </si>
  <si>
    <t>Do residents and businesses have reliable access to high-speed internet?</t>
  </si>
  <si>
    <t>Data Centers</t>
  </si>
  <si>
    <t>https://experience.arcgis.com/experience/5a4d072ad01449bba5698a80103fb909</t>
  </si>
  <si>
    <t>review / integrate into design</t>
  </si>
  <si>
    <t>draft</t>
  </si>
  <si>
    <t>CP, RG</t>
  </si>
  <si>
    <t>the only 'center' hits are unrelated (fueling stations, ports)</t>
  </si>
  <si>
    <t>the Experience Builder app in the sheet is the source</t>
  </si>
  <si>
    <t>Broad band access</t>
  </si>
  <si>
    <t>Broad band areas (census / acs data)
- B28002 Presence and Types of Internet Subscriptions in Household</t>
  </si>
  <si>
    <t>https://drive.google.com/drive/folders/14AMvOvWPjzAolREWubJ-3S-BLb9-_FhW?usp=drive_link</t>
  </si>
  <si>
    <t>map</t>
  </si>
  <si>
    <t>- get block level popultation data to identify nonresidential areas
-  integrate into design</t>
  </si>
  <si>
    <t>no broadband or B28002 layer</t>
  </si>
  <si>
    <t>separate census pull</t>
  </si>
  <si>
    <t>Utilities &amp; Critical Infrastructure</t>
  </si>
  <si>
    <t>Are essential systems keeping pace with growth and future demand?</t>
  </si>
  <si>
    <t>Electircity service areas</t>
  </si>
  <si>
    <t>HIFLD transmission lines and substations, HIFLD power plants</t>
  </si>
  <si>
    <t>assets, not utility service territory polygons</t>
  </si>
  <si>
    <t>Water provider areas</t>
  </si>
  <si>
    <t>Rivers and Water Bodies are hydrology, not service areas</t>
  </si>
  <si>
    <t>provider boundaries live with the utilities</t>
  </si>
  <si>
    <t>Energy use and cost</t>
  </si>
  <si>
    <t>ACS: 
- Gas Costs:  B25133
- Electricity Costs: B25132
Also: https://www.energy.gov/cmei/scep/low-income-energy-affordability-data-lead-tool</t>
  </si>
  <si>
    <t>**Look at Climate Vulnerability Index
Also: - State and Local Planning for Energy (SLOPE) 
- City and County Energy Profiles (OEDI): 
- Residential energy consumption data, 2024
- Low-income Energy Affordability Data:
https://www.energy.gov/topics/energy-usage</t>
  </si>
  <si>
    <t>Show change? 
- monthly utlity costs as portion of Household income
- historical data aviailable in some resources linked to at left (REI)</t>
  </si>
  <si>
    <t>review + decide: LEADS, SLOPE, OEDI, and ACS data</t>
  </si>
  <si>
    <t>studio 22663</t>
  </si>
  <si>
    <t>TRIP carries energy supply and fuel infrastructure only</t>
  </si>
  <si>
    <t>ACS B25132/B25133 pull, per the sheet</t>
  </si>
  <si>
    <t xml:space="preserve">Infrastructure + capacity </t>
  </si>
  <si>
    <t>not sure this is possible</t>
  </si>
  <si>
    <t>remove?</t>
  </si>
  <si>
    <t>nothing in the 67 layers reports capacity</t>
  </si>
  <si>
    <t>the sheet itself says 'not sure this is possible'</t>
  </si>
  <si>
    <t>Study Area (48); Thrive Counties (47); Rivers (25); Water Bodies (40); 119th Congressional Districts (153); MetropolitanPlanningOrganizations (127); Local Development Districts (121); Incorporated Places (116); Navigable Waterways (37)</t>
  </si>
  <si>
    <t>TIGER/Line extracts for the study area and counties, census boundaries, hydrology</t>
  </si>
  <si>
    <t>What this tab is</t>
  </si>
  <si>
    <t>The T+I tab annotated with whether Trip Updates 2026 covers each row.</t>
  </si>
  <si>
    <t>TRIP source</t>
  </si>
  <si>
    <t>67 layers of the Trip Updates 2026 web map, item f5545884a42b4412956620508bef1b2b.</t>
  </si>
  <si>
    <t>the data is in the map as asked</t>
  </si>
  <si>
    <t>a related TRIP layer stands in, but it is not the same measure</t>
  </si>
  <si>
    <t>TRIP has part of it, something the row asks for is missing</t>
  </si>
  <si>
    <t>nothing in the 67 layers answers the row</t>
  </si>
  <si>
    <t>Counts</t>
  </si>
  <si>
    <t>in TRIP: 6 proxy: 2 partial: 4 not in TRIP: 12</t>
  </si>
  <si>
    <t>Rows annotated</t>
  </si>
  <si>
    <t>24</t>
  </si>
  <si>
    <t>Ask the client</t>
  </si>
  <si>
    <t>AL crash data, rest areas, industrial zone polygons, speed or delay, people origin-destination flows, LTRP.</t>
  </si>
  <si>
    <t>In TRIP, no row asks for it</t>
  </si>
  <si>
    <t>Trucking Companies, County Economic Status FY2026, Distressed Areas FY 2026, Hazard Exposure: Rail, Hazard Exposure National Highway System, Hazard Exposure: Principal Ports, Schools, Biodiesel Stations, Alternative Fuel Corridor, Alternative Fueling Stations, Petroleum Pumping Stations, Petroleum Pipelines, Petroleum Terminals, National Highway System (NHS), Rail Crossings, National Bridge Inventory (2025), Hazard Exposure: Bridges, National Tunnel Inventory, Railroad Bridges, Appalachian Development Highway System, National Highway Freight Network NHFN</t>
  </si>
  <si>
    <t>Traffic (Traffic Congestion)</t>
  </si>
  <si>
    <r>
      <rPr>
        <sz val="10"/>
        <color theme="5"/>
        <rFont val="Source Sans Pro"/>
        <family val="2"/>
      </rPr>
      <t xml:space="preserve">Regional Traffic Counts (2022-2024) (0); 
VMT Traffic volume (93);
 TN Road Network Traffic 2024:
 % Peak Multi-Unit Trucks (123); 
GA Road Network Truck 2024: % Peak Multi-Unit Trucks (78); </t>
    </r>
    <r>
      <rPr>
        <sz val="10"/>
        <color theme="1"/>
        <rFont val="Source Sans Pro"/>
      </rPr>
      <t xml:space="preserve">
</t>
    </r>
    <r>
      <rPr>
        <sz val="10"/>
        <color theme="5"/>
        <rFont val="Source Sans Pro"/>
        <family val="2"/>
      </rPr>
      <t>Highway Performance Monitoring System (HPMS) (81)</t>
    </r>
  </si>
  <si>
    <r>
      <t xml:space="preserve">Electric Power Transmission Lines (122); 
Electric Substations (17); 
Power Plants (104)
</t>
    </r>
    <r>
      <rPr>
        <sz val="10"/>
        <color theme="5"/>
        <rFont val="Source Sans Pro"/>
        <family val="2"/>
      </rPr>
      <t>Used 2263 Data</t>
    </r>
  </si>
  <si>
    <t>Major Ports (8); 
Docks (128);
 Locks (63);
 Intermodal Transfer Facilities (10);
 Non Retail Shipping Facilities (12); 
Rail Freight Stations (149)</t>
  </si>
  <si>
    <t>CFS Subareas Origin Data 2022 (164);
 CFS Subareas Destination Data - 2022 (165);
 Commodity Flow Survery Areas: National (43);
 Freight Analysis Framework (FAF) Network: 2022 Estimates (33); F
Freight Analysis Framework (FAF) Network: 2050 Estimates (134)</t>
  </si>
  <si>
    <t>Data from 2263</t>
  </si>
  <si>
    <r>
      <rPr>
        <sz val="10"/>
        <color theme="5"/>
        <rFont val="Source Sans Pro"/>
        <family val="2"/>
      </rPr>
      <t xml:space="preserve">TN Large Truck Accidents (2017 - 2025) (73); 
GA Large Truck Accidents (2020-2025) (68); 
Fatal Motor Vehicle Accidents (2019 - 2024) (180); 
TN Pedestrian Crashes (2016 - 2025) (114); </t>
    </r>
    <r>
      <rPr>
        <sz val="10"/>
        <color theme="1"/>
        <rFont val="Source Sans Pro"/>
        <family val="2"/>
      </rPr>
      <t xml:space="preserve">
</t>
    </r>
    <r>
      <rPr>
        <sz val="10"/>
        <color theme="5"/>
        <rFont val="Source Sans Pro"/>
        <family val="2"/>
      </rPr>
      <t>Truck Crashes by County (2019-2025) (143); 
Rail Trespasser Fatalities (2011-2022) (147)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</si>
</sst>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sz val="10"/>
      <color theme="1"/>
      <name val="Source Sans Pro"/>
    </font>
    <font>
      <b/>
      <sz val="10"/>
      <color theme="1"/>
      <name val="Source Sans Pro"/>
    </font>
    <font>
      <b/>
      <sz val="11"/>
      <color theme="1"/>
      <name val="Source Sans Pro"/>
    </font>
    <font>
      <b/>
      <i/>
      <sz val="11"/>
      <color theme="1"/>
      <name val="Source Sans Pro"/>
    </font>
    <font>
      <u/>
      <sz val="10"/>
      <color rgb="FF0000FF"/>
      <name val="Source Sans Pro"/>
    </font>
    <font>
      <u/>
      <sz val="10"/>
      <color rgb="FF0000FF"/>
      <name val="Source Sans Pro"/>
    </font>
    <font>
      <b/>
      <u/>
      <sz val="13"/>
      <color rgb="FF0000FF"/>
      <name val="Source Sans Pro"/>
    </font>
    <font>
      <b/>
      <sz val="13"/>
      <color theme="1"/>
      <name val="Source Sans Pro"/>
    </font>
    <font>
      <b/>
      <sz val="10"/>
      <color theme="1"/>
      <name val="Source Sans Pro"/>
    </font>
    <font>
      <u/>
      <sz val="10"/>
      <color rgb="FF0000FF"/>
      <name val="Source Sans Pro"/>
    </font>
    <font>
      <b/>
      <sz val="10"/>
      <color rgb="FF0000FF"/>
      <name val="Source Sans Pro"/>
    </font>
    <font>
      <sz val="10"/>
      <color theme="1"/>
      <name val="Arial"/>
      <scheme val="minor"/>
    </font>
    <font>
      <b/>
      <i/>
      <sz val="11"/>
      <color rgb="FF000000"/>
      <name val="Source Sans Pro"/>
    </font>
    <font>
      <sz val="10"/>
      <color rgb="FF1F1F1F"/>
      <name val="Source Sans Pro"/>
    </font>
    <font>
      <u/>
      <sz val="10"/>
      <color rgb="FF0000FF"/>
      <name val="Source Sans Pro"/>
    </font>
    <font>
      <sz val="10"/>
      <color rgb="FF999999"/>
      <name val="Source Sans Pro"/>
    </font>
    <font>
      <u/>
      <sz val="10"/>
      <color rgb="FF0000FF"/>
      <name val="Source Sans Pro"/>
    </font>
    <font>
      <b/>
      <sz val="10"/>
      <color rgb="FFFFFFFF"/>
      <name val="Arial"/>
    </font>
    <font>
      <b/>
      <sz val="10"/>
      <name val="Arial"/>
    </font>
    <font>
      <sz val="10"/>
      <color theme="1"/>
      <name val="Source Sans Pro"/>
      <family val="2"/>
    </font>
    <font>
      <sz val="10"/>
      <color theme="5"/>
      <name val="Source Sans Pro"/>
      <family val="2"/>
    </font>
  </fonts>
  <fills count="10">
    <fill>
      <patternFill patternType="none"/>
    </fill>
    <fill>
      <patternFill patternType="gray125"/>
    </fill>
    <fill>
      <patternFill patternType="solid">
        <fgColor rgb="FF3FB9CF"/>
        <bgColor rgb="FF3FB9CF"/>
      </patternFill>
    </fill>
    <fill>
      <patternFill patternType="solid">
        <fgColor rgb="FFEFEFEF"/>
        <bgColor rgb="FFEFEFEF"/>
      </patternFill>
    </fill>
    <fill>
      <patternFill patternType="solid">
        <fgColor rgb="FFFF78B5"/>
        <bgColor rgb="FFFF78B5"/>
      </patternFill>
    </fill>
    <fill>
      <patternFill patternType="solid">
        <fgColor rgb="FF4472C4"/>
      </patternFill>
    </fill>
    <fill>
      <patternFill patternType="solid">
        <fgColor rgb="FFC6EFCE"/>
      </patternFill>
    </fill>
    <fill>
      <patternFill patternType="solid">
        <fgColor rgb="FFFFD8A8"/>
      </patternFill>
    </fill>
    <fill>
      <patternFill patternType="solid">
        <fgColor rgb="FFFFEB9C"/>
      </patternFill>
    </fill>
    <fill>
      <patternFill patternType="solid">
        <fgColor rgb="FFFFC7CE"/>
      </patternFill>
    </fill>
  </fills>
  <borders count="12">
    <border>
      <left/>
      <right/>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0">
    <xf numFmtId="0" fontId="0" fillId="0" borderId="0" xfId="0"/>
    <xf numFmtId="0" fontId="1" fillId="0" borderId="0" xfId="0" applyFont="1"/>
    <xf numFmtId="0" fontId="1" fillId="0" borderId="0" xfId="0" applyFont="1" applyAlignment="1">
      <alignment wrapText="1"/>
    </xf>
    <xf numFmtId="0" fontId="5" fillId="0" borderId="0" xfId="0" applyFont="1"/>
    <xf numFmtId="0" fontId="6" fillId="0" borderId="0" xfId="0" applyFont="1"/>
    <xf numFmtId="0" fontId="1" fillId="0" borderId="7" xfId="0" applyFont="1" applyBorder="1"/>
    <xf numFmtId="0" fontId="1" fillId="0" borderId="7" xfId="0" applyFont="1" applyBorder="1" applyAlignment="1">
      <alignment wrapText="1"/>
    </xf>
    <xf numFmtId="0" fontId="1" fillId="0" borderId="8" xfId="0" applyFont="1" applyBorder="1"/>
    <xf numFmtId="0" fontId="7" fillId="2" borderId="4" xfId="0" applyFont="1" applyFill="1" applyBorder="1"/>
    <xf numFmtId="0" fontId="1" fillId="2" borderId="5" xfId="0" applyFont="1" applyFill="1" applyBorder="1"/>
    <xf numFmtId="0" fontId="1" fillId="2" borderId="6" xfId="0" applyFont="1" applyFill="1" applyBorder="1"/>
    <xf numFmtId="0" fontId="3" fillId="3" borderId="1" xfId="0" applyFont="1" applyFill="1" applyBorder="1" applyAlignment="1">
      <alignment wrapText="1"/>
    </xf>
    <xf numFmtId="0" fontId="8" fillId="2" borderId="0" xfId="0" applyFont="1" applyFill="1"/>
    <xf numFmtId="0" fontId="4" fillId="3" borderId="2" xfId="0" applyFont="1" applyFill="1" applyBorder="1"/>
    <xf numFmtId="0" fontId="1" fillId="3" borderId="2" xfId="0" applyFont="1" applyFill="1" applyBorder="1"/>
    <xf numFmtId="0" fontId="1" fillId="2" borderId="0" xfId="0" applyFont="1" applyFill="1"/>
    <xf numFmtId="0" fontId="9" fillId="2" borderId="0" xfId="0" applyFont="1" applyFill="1"/>
    <xf numFmtId="0" fontId="1" fillId="3" borderId="9" xfId="0" applyFont="1" applyFill="1" applyBorder="1"/>
    <xf numFmtId="0" fontId="10" fillId="0" borderId="0" xfId="0" applyFont="1" applyAlignment="1">
      <alignment wrapText="1"/>
    </xf>
    <xf numFmtId="0" fontId="2" fillId="2" borderId="0" xfId="0" applyFont="1" applyFill="1"/>
    <xf numFmtId="0" fontId="3" fillId="3" borderId="1" xfId="0" applyFont="1" applyFill="1" applyBorder="1"/>
    <xf numFmtId="0" fontId="1" fillId="0" borderId="10" xfId="0" applyFont="1" applyBorder="1" applyAlignment="1">
      <alignment wrapText="1"/>
    </xf>
    <xf numFmtId="0" fontId="1" fillId="0" borderId="3" xfId="0" applyFont="1" applyBorder="1" applyAlignment="1">
      <alignment wrapText="1"/>
    </xf>
    <xf numFmtId="0" fontId="1" fillId="0" borderId="3" xfId="0" applyFont="1" applyBorder="1"/>
    <xf numFmtId="0" fontId="1" fillId="0" borderId="11" xfId="0" applyFont="1" applyBorder="1"/>
    <xf numFmtId="0" fontId="12" fillId="0" borderId="0" xfId="0" applyFont="1" applyAlignment="1">
      <alignment wrapText="1"/>
    </xf>
    <xf numFmtId="0" fontId="1" fillId="4" borderId="0" xfId="0" applyFont="1" applyFill="1"/>
    <xf numFmtId="0" fontId="1" fillId="0" borderId="0" xfId="0" applyFont="1" applyAlignment="1">
      <alignment vertical="top" wrapText="1"/>
    </xf>
    <xf numFmtId="0" fontId="3" fillId="0" borderId="7" xfId="0" applyFont="1" applyBorder="1" applyAlignment="1">
      <alignment wrapText="1"/>
    </xf>
    <xf numFmtId="0" fontId="1" fillId="0" borderId="10" xfId="0" applyFont="1" applyBorder="1"/>
    <xf numFmtId="0" fontId="3" fillId="3" borderId="7" xfId="0" applyFont="1" applyFill="1" applyBorder="1" applyAlignment="1">
      <alignment wrapText="1"/>
    </xf>
    <xf numFmtId="0" fontId="4" fillId="3" borderId="0" xfId="0" applyFont="1" applyFill="1"/>
    <xf numFmtId="0" fontId="1" fillId="3" borderId="0" xfId="0" applyFont="1" applyFill="1"/>
    <xf numFmtId="0" fontId="1" fillId="3" borderId="8" xfId="0" applyFont="1" applyFill="1" applyBorder="1"/>
    <xf numFmtId="0" fontId="13" fillId="3" borderId="0" xfId="0" applyFont="1" applyFill="1"/>
    <xf numFmtId="0" fontId="14" fillId="0" borderId="0" xfId="0" applyFont="1"/>
    <xf numFmtId="0" fontId="12" fillId="0" borderId="0" xfId="0" applyFont="1"/>
    <xf numFmtId="0" fontId="1" fillId="3" borderId="2" xfId="0" applyFont="1" applyFill="1" applyBorder="1" applyAlignment="1">
      <alignment wrapText="1"/>
    </xf>
    <xf numFmtId="0" fontId="4" fillId="3" borderId="2" xfId="0" applyFont="1" applyFill="1" applyBorder="1" applyAlignment="1">
      <alignment wrapText="1"/>
    </xf>
    <xf numFmtId="0" fontId="15" fillId="0" borderId="0" xfId="0" applyFont="1" applyAlignment="1">
      <alignment wrapText="1"/>
    </xf>
    <xf numFmtId="0" fontId="16" fillId="0" borderId="0" xfId="0" applyFont="1" applyAlignment="1">
      <alignment wrapText="1"/>
    </xf>
    <xf numFmtId="0" fontId="17" fillId="0" borderId="3" xfId="0" applyFont="1" applyBorder="1"/>
    <xf numFmtId="0" fontId="18" fillId="5" borderId="0" xfId="0" applyFont="1" applyFill="1" applyAlignment="1">
      <alignment vertical="top" wrapText="1"/>
    </xf>
    <xf numFmtId="0" fontId="1" fillId="6" borderId="0" xfId="0" applyFont="1" applyFill="1" applyAlignment="1">
      <alignment vertical="top" wrapText="1"/>
    </xf>
    <xf numFmtId="0" fontId="0" fillId="0" borderId="0" xfId="0" applyAlignment="1">
      <alignment vertical="top" wrapText="1"/>
    </xf>
    <xf numFmtId="0" fontId="1" fillId="7" borderId="0" xfId="0" applyFont="1" applyFill="1" applyAlignment="1">
      <alignment vertical="top" wrapText="1"/>
    </xf>
    <xf numFmtId="0" fontId="1" fillId="8" borderId="0" xfId="0" applyFont="1" applyFill="1" applyAlignment="1">
      <alignment vertical="top" wrapText="1"/>
    </xf>
    <xf numFmtId="0" fontId="1" fillId="9" borderId="0" xfId="0" applyFont="1" applyFill="1" applyAlignment="1">
      <alignment vertical="top" wrapText="1"/>
    </xf>
    <xf numFmtId="0" fontId="19" fillId="0" borderId="0" xfId="0" applyFont="1" applyAlignment="1">
      <alignment vertical="top" wrapText="1"/>
    </xf>
    <xf numFmtId="0" fontId="1" fillId="2" borderId="5" xfId="0" applyFont="1" applyFill="1" applyBorder="1" applyAlignment="1">
      <alignment wrapText="1"/>
    </xf>
    <xf numFmtId="0" fontId="1" fillId="2" borderId="0" xfId="0" applyFont="1" applyFill="1" applyAlignment="1">
      <alignment wrapText="1"/>
    </xf>
    <xf numFmtId="0" fontId="11" fillId="0" borderId="0" xfId="0" applyFont="1" applyAlignment="1">
      <alignment wrapText="1"/>
    </xf>
    <xf numFmtId="0" fontId="5" fillId="0" borderId="0" xfId="0" applyFont="1" applyAlignment="1">
      <alignment wrapText="1"/>
    </xf>
    <xf numFmtId="0" fontId="1" fillId="3" borderId="0" xfId="0" applyFont="1" applyFill="1" applyAlignment="1">
      <alignment wrapText="1"/>
    </xf>
    <xf numFmtId="0" fontId="0" fillId="0" borderId="0" xfId="0" applyAlignment="1">
      <alignment wrapText="1"/>
    </xf>
    <xf numFmtId="0" fontId="12" fillId="3" borderId="2" xfId="0" applyFont="1" applyFill="1" applyBorder="1" applyAlignment="1">
      <alignment wrapText="1"/>
    </xf>
    <xf numFmtId="0" fontId="20" fillId="0" borderId="0" xfId="0" applyFont="1" applyAlignment="1">
      <alignment vertical="top" wrapText="1"/>
    </xf>
    <xf numFmtId="0" fontId="21" fillId="0" borderId="0" xfId="0" applyFont="1" applyAlignment="1">
      <alignment vertical="top" wrapText="1"/>
    </xf>
    <xf numFmtId="0" fontId="20" fillId="0" borderId="0" xfId="0" applyFont="1" applyAlignment="1">
      <alignment wrapText="1"/>
    </xf>
    <xf numFmtId="0" fontId="21" fillId="0" borderId="0" xfId="0" applyFont="1" applyAlignment="1">
      <alignment wrapText="1"/>
    </xf>
  </cellXfs>
  <cellStyles count="1">
    <cellStyle name="Normal" xfId="0" builtinId="0"/>
  </cellStyles>
  <dxfs count="18">
    <dxf>
      <fill>
        <patternFill patternType="solid">
          <fgColor theme="8"/>
          <bgColor theme="8"/>
        </patternFill>
      </fill>
    </dxf>
    <dxf>
      <fill>
        <patternFill patternType="solid">
          <fgColor rgb="FFB7E1CD"/>
          <bgColor rgb="FFB7E1CD"/>
        </patternFill>
      </fill>
    </dxf>
    <dxf>
      <fill>
        <patternFill patternType="solid">
          <fgColor rgb="FFB7B7B7"/>
          <bgColor rgb="FFB7B7B7"/>
        </patternFill>
      </fill>
    </dxf>
    <dxf>
      <fill>
        <patternFill patternType="solid">
          <fgColor rgb="FFFFAB23"/>
          <bgColor rgb="FFFFAB23"/>
        </patternFill>
      </fill>
    </dxf>
    <dxf>
      <fill>
        <patternFill patternType="solid">
          <fgColor theme="9"/>
          <bgColor theme="9"/>
        </patternFill>
      </fill>
    </dxf>
    <dxf>
      <fill>
        <patternFill patternType="solid">
          <fgColor theme="9"/>
          <bgColor theme="9"/>
        </patternFill>
      </fill>
    </dxf>
    <dxf>
      <fill>
        <patternFill patternType="solid">
          <fgColor theme="9"/>
          <bgColor theme="9"/>
        </patternFill>
      </fill>
    </dxf>
    <dxf>
      <fill>
        <patternFill patternType="solid">
          <fgColor rgb="FFD9EA5A"/>
          <bgColor rgb="FFD9EA5A"/>
        </patternFill>
      </fill>
    </dxf>
    <dxf>
      <fill>
        <patternFill patternType="solid">
          <fgColor rgb="FF008FA8"/>
          <bgColor rgb="FF008FA8"/>
        </patternFill>
      </fill>
    </dxf>
    <dxf>
      <fill>
        <patternFill patternType="solid">
          <fgColor rgb="FF46BDC6"/>
          <bgColor rgb="FF46BDC6"/>
        </patternFill>
      </fill>
    </dxf>
    <dxf>
      <font>
        <color rgb="FF000000"/>
      </font>
      <fill>
        <patternFill patternType="solid">
          <fgColor rgb="FFADBA4C"/>
          <bgColor rgb="FFADBA4C"/>
        </patternFill>
      </fill>
    </dxf>
    <dxf>
      <fill>
        <patternFill patternType="solid">
          <fgColor theme="8"/>
          <bgColor theme="8"/>
        </patternFill>
      </fill>
    </dxf>
    <dxf>
      <fill>
        <patternFill patternType="solid">
          <fgColor theme="9"/>
          <bgColor theme="9"/>
        </patternFill>
      </fill>
    </dxf>
    <dxf>
      <fill>
        <patternFill patternType="solid">
          <fgColor rgb="FFB7B7B7"/>
          <bgColor rgb="FFB7B7B7"/>
        </patternFill>
      </fill>
    </dxf>
    <dxf>
      <fill>
        <patternFill patternType="solid">
          <fgColor rgb="FFB7B7B7"/>
          <bgColor rgb="FFB7B7B7"/>
        </patternFill>
      </fill>
    </dxf>
    <dxf>
      <fill>
        <patternFill patternType="solid">
          <fgColor rgb="FF6AA84F"/>
          <bgColor rgb="FF6AA84F"/>
        </patternFill>
      </fill>
    </dxf>
    <dxf>
      <fill>
        <patternFill patternType="solid">
          <fgColor rgb="FFD9EA5A"/>
          <bgColor rgb="FFD9EA5A"/>
        </patternFill>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4AMvOvWPjzAolREWubJ-3S-BLb9-_FhW?usp=drive_link" TargetMode="External"/><Relationship Id="rId13" Type="http://schemas.openxmlformats.org/officeDocument/2006/relationships/hyperlink" Target="https://library.municode.com/" TargetMode="External"/><Relationship Id="rId3" Type="http://schemas.openxmlformats.org/officeDocument/2006/relationships/hyperlink" Target="https://www.epa.gov/air-emissions-inventories/2020-nei-supporting-data-and-summaries" TargetMode="External"/><Relationship Id="rId7" Type="http://schemas.openxmlformats.org/officeDocument/2006/relationships/hyperlink" Target="https://data.census.gov/table?q=B28002" TargetMode="External"/><Relationship Id="rId12" Type="http://schemas.openxmlformats.org/officeDocument/2006/relationships/hyperlink" Target="https://map.climatevulnerabilityindex.org/map/percent_of_household_with_smartphone_but_no_other_device/usa?mapBoundaries=Tract&amp;mapFilter=0&amp;reportBoundaries=Tract&amp;geoContext=State" TargetMode="External"/><Relationship Id="rId2" Type="http://schemas.openxmlformats.org/officeDocument/2006/relationships/hyperlink" Target="https://arcg.is/0LmHGL" TargetMode="External"/><Relationship Id="rId1" Type="http://schemas.openxmlformats.org/officeDocument/2006/relationships/hyperlink" Target="https://thrive-geohub.maps.arcgis.com/apps/mapviewer/index.html?webmap=25c75ac490b94b85b02aa4fd2f341fbb" TargetMode="External"/><Relationship Id="rId6" Type="http://schemas.openxmlformats.org/officeDocument/2006/relationships/hyperlink" Target="https://experience.arcgis.com/experience/5a4d072ad01449bba5698a80103fb909" TargetMode="External"/><Relationship Id="rId11" Type="http://schemas.openxmlformats.org/officeDocument/2006/relationships/hyperlink" Target="https://data.census.gov/table/ACSDT5Y2023.B25133?q=Budget+Smog" TargetMode="External"/><Relationship Id="rId5" Type="http://schemas.openxmlformats.org/officeDocument/2006/relationships/hyperlink" Target="https://library.municode.com/" TargetMode="External"/><Relationship Id="rId10" Type="http://schemas.openxmlformats.org/officeDocument/2006/relationships/hyperlink" Target="https://drive.google.com/drive/folders/14AMvOvWPjzAolREWubJ-3S-BLb9-_FhW?usp=drive_link" TargetMode="External"/><Relationship Id="rId4" Type="http://schemas.openxmlformats.org/officeDocument/2006/relationships/hyperlink" Target="https://www.socialexplorer.com/home" TargetMode="External"/><Relationship Id="rId9" Type="http://schemas.openxmlformats.org/officeDocument/2006/relationships/hyperlink" Target="https://drive.google.com/drive/folders/14AMvOvWPjzAolREWubJ-3S-BLb9-_Fh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47"/>
  <sheetViews>
    <sheetView tabSelected="1" zoomScale="81" workbookViewId="0">
      <pane xSplit="2" ySplit="3" topLeftCell="K14" activePane="bottomRight" state="frozen"/>
      <selection pane="topRight" activeCell="C1" sqref="C1"/>
      <selection pane="bottomLeft" activeCell="A4" sqref="A4"/>
      <selection pane="bottomRight" activeCell="P26" sqref="P26"/>
    </sheetView>
  </sheetViews>
  <sheetFormatPr defaultColWidth="12.6640625" defaultRowHeight="15.75" customHeight="1" x14ac:dyDescent="0.25"/>
  <cols>
    <col min="1" max="1" width="15.21875" customWidth="1"/>
    <col min="2" max="2" width="35.6640625" customWidth="1"/>
    <col min="3" max="3" width="30.33203125" customWidth="1"/>
    <col min="4" max="4" width="27.21875" hidden="1" customWidth="1"/>
    <col min="5" max="5" width="22.33203125" hidden="1" customWidth="1"/>
    <col min="6" max="6" width="17.6640625" hidden="1" customWidth="1"/>
    <col min="7" max="7" width="17.44140625" customWidth="1"/>
    <col min="8" max="8" width="17.44140625" hidden="1" customWidth="1"/>
    <col min="9" max="9" width="0" hidden="1" customWidth="1"/>
    <col min="11" max="11" width="59.21875" style="54" customWidth="1"/>
    <col min="12" max="14" width="0" hidden="1" customWidth="1"/>
    <col min="15" max="15" width="41.88671875" customWidth="1"/>
    <col min="16" max="16" width="41" customWidth="1"/>
    <col min="17" max="17" width="52" customWidth="1"/>
    <col min="18" max="18" width="28" customWidth="1"/>
  </cols>
  <sheetData>
    <row r="1" spans="1:18" ht="26.25" customHeight="1" x14ac:dyDescent="0.35">
      <c r="A1" s="8" t="s">
        <v>20</v>
      </c>
      <c r="B1" s="9"/>
      <c r="C1" s="9"/>
      <c r="D1" s="9"/>
      <c r="E1" s="9"/>
      <c r="F1" s="10"/>
      <c r="G1" s="9"/>
      <c r="H1" s="9"/>
      <c r="I1" s="9"/>
      <c r="J1" s="9"/>
      <c r="K1" s="49"/>
      <c r="L1" s="9"/>
      <c r="M1" s="9"/>
      <c r="N1" s="9"/>
      <c r="O1" s="1"/>
      <c r="P1" s="1"/>
    </row>
    <row r="2" spans="1:18" ht="30" customHeight="1" x14ac:dyDescent="0.35">
      <c r="A2" s="12" t="s">
        <v>21</v>
      </c>
      <c r="B2" s="12"/>
      <c r="C2" s="15"/>
      <c r="D2" s="15"/>
      <c r="E2" s="15"/>
      <c r="F2" s="15"/>
      <c r="G2" s="15"/>
      <c r="H2" s="15"/>
      <c r="I2" s="15"/>
      <c r="J2" s="15"/>
      <c r="K2" s="50"/>
      <c r="L2" s="15"/>
      <c r="M2" s="15"/>
      <c r="N2" s="15"/>
      <c r="O2" s="1"/>
      <c r="P2" s="1"/>
    </row>
    <row r="3" spans="1:18" ht="17.25" customHeight="1" x14ac:dyDescent="0.3">
      <c r="A3" s="16" t="s">
        <v>22</v>
      </c>
      <c r="B3" s="19" t="s">
        <v>5</v>
      </c>
      <c r="C3" s="19" t="s">
        <v>15</v>
      </c>
      <c r="D3" s="19" t="s">
        <v>7</v>
      </c>
      <c r="E3" s="19" t="s">
        <v>23</v>
      </c>
      <c r="F3" s="19" t="s">
        <v>16</v>
      </c>
      <c r="G3" s="19" t="s">
        <v>24</v>
      </c>
      <c r="H3" s="19" t="s">
        <v>8</v>
      </c>
      <c r="I3" s="19" t="s">
        <v>0</v>
      </c>
      <c r="J3" s="19" t="s">
        <v>25</v>
      </c>
      <c r="K3" s="50" t="s">
        <v>10</v>
      </c>
      <c r="L3" s="15" t="s">
        <v>9</v>
      </c>
      <c r="M3" s="15" t="s">
        <v>6</v>
      </c>
      <c r="N3" s="15"/>
      <c r="O3" s="42" t="s">
        <v>26</v>
      </c>
      <c r="P3" s="42" t="s">
        <v>27</v>
      </c>
      <c r="Q3" s="42" t="s">
        <v>28</v>
      </c>
      <c r="R3" s="42" t="s">
        <v>29</v>
      </c>
    </row>
    <row r="4" spans="1:18" ht="26.25" customHeight="1" x14ac:dyDescent="0.3">
      <c r="A4" s="20" t="s">
        <v>30</v>
      </c>
      <c r="B4" s="13" t="s">
        <v>31</v>
      </c>
      <c r="C4" s="14"/>
      <c r="D4" s="14"/>
      <c r="E4" s="14"/>
      <c r="F4" s="14"/>
      <c r="G4" s="14"/>
      <c r="H4" s="14"/>
      <c r="I4" s="14"/>
      <c r="J4" s="14"/>
      <c r="K4" s="37"/>
      <c r="L4" s="14"/>
      <c r="M4" s="14"/>
      <c r="N4" s="17"/>
      <c r="O4" s="1"/>
      <c r="P4" s="1"/>
    </row>
    <row r="5" spans="1:18" ht="95.4" customHeight="1" x14ac:dyDescent="0.3">
      <c r="A5" s="6"/>
      <c r="B5" s="2" t="s">
        <v>32</v>
      </c>
      <c r="C5" s="1" t="s">
        <v>33</v>
      </c>
      <c r="D5" s="1"/>
      <c r="E5" s="2" t="s">
        <v>34</v>
      </c>
      <c r="F5" s="2" t="s">
        <v>35</v>
      </c>
      <c r="G5" s="1" t="s">
        <v>11</v>
      </c>
      <c r="H5" s="1" t="s">
        <v>17</v>
      </c>
      <c r="I5" s="1" t="s">
        <v>1</v>
      </c>
      <c r="J5" s="1"/>
      <c r="K5" s="2"/>
      <c r="L5" s="1"/>
      <c r="M5" s="1"/>
      <c r="N5" s="7"/>
      <c r="O5" s="43" t="s">
        <v>36</v>
      </c>
      <c r="P5" s="57" t="s">
        <v>191</v>
      </c>
      <c r="Q5" s="44" t="s">
        <v>37</v>
      </c>
      <c r="R5" s="44"/>
    </row>
    <row r="6" spans="1:18" ht="39.6" x14ac:dyDescent="0.3">
      <c r="A6" s="6"/>
      <c r="B6" s="2" t="s">
        <v>38</v>
      </c>
      <c r="C6" s="1" t="s">
        <v>39</v>
      </c>
      <c r="D6" s="1"/>
      <c r="E6" s="2" t="s">
        <v>34</v>
      </c>
      <c r="F6" s="1"/>
      <c r="G6" s="1" t="s">
        <v>11</v>
      </c>
      <c r="H6" s="1" t="s">
        <v>40</v>
      </c>
      <c r="I6" s="1" t="s">
        <v>1</v>
      </c>
      <c r="J6" s="1"/>
      <c r="K6" s="51" t="s">
        <v>41</v>
      </c>
      <c r="L6" s="1"/>
      <c r="M6" s="1"/>
      <c r="N6" s="7"/>
      <c r="O6" s="45" t="s">
        <v>42</v>
      </c>
      <c r="P6" s="57" t="s">
        <v>43</v>
      </c>
      <c r="Q6" s="44" t="s">
        <v>44</v>
      </c>
      <c r="R6" s="44" t="s">
        <v>45</v>
      </c>
    </row>
    <row r="7" spans="1:18" ht="108.6" customHeight="1" x14ac:dyDescent="0.3">
      <c r="A7" s="5"/>
      <c r="B7" s="2" t="s">
        <v>46</v>
      </c>
      <c r="C7" s="2" t="s">
        <v>47</v>
      </c>
      <c r="D7" s="1"/>
      <c r="E7" s="1" t="s">
        <v>48</v>
      </c>
      <c r="F7" s="1" t="s">
        <v>49</v>
      </c>
      <c r="G7" s="1" t="s">
        <v>11</v>
      </c>
      <c r="H7" s="1" t="s">
        <v>50</v>
      </c>
      <c r="I7" s="1" t="s">
        <v>1</v>
      </c>
      <c r="J7" s="1"/>
      <c r="K7" s="52" t="s">
        <v>51</v>
      </c>
      <c r="L7" s="1"/>
      <c r="M7" s="1"/>
      <c r="N7" s="7"/>
      <c r="O7" s="43" t="s">
        <v>36</v>
      </c>
      <c r="P7" s="57" t="s">
        <v>192</v>
      </c>
      <c r="Q7" s="44" t="s">
        <v>52</v>
      </c>
      <c r="R7" s="44"/>
    </row>
    <row r="8" spans="1:18" ht="41.4" x14ac:dyDescent="0.3">
      <c r="A8" s="5"/>
      <c r="B8" s="2" t="s">
        <v>53</v>
      </c>
      <c r="C8" s="2" t="s">
        <v>54</v>
      </c>
      <c r="D8" s="1"/>
      <c r="E8" s="2" t="s">
        <v>55</v>
      </c>
      <c r="F8" s="1" t="s">
        <v>39</v>
      </c>
      <c r="G8" s="1" t="s">
        <v>12</v>
      </c>
      <c r="H8" s="1" t="s">
        <v>40</v>
      </c>
      <c r="I8" s="1" t="s">
        <v>3</v>
      </c>
      <c r="J8" s="1"/>
      <c r="K8" s="51" t="s">
        <v>56</v>
      </c>
      <c r="L8" s="1"/>
      <c r="M8" s="1"/>
      <c r="N8" s="7"/>
      <c r="O8" s="45" t="s">
        <v>42</v>
      </c>
      <c r="P8" s="57" t="s">
        <v>57</v>
      </c>
      <c r="Q8" s="44" t="s">
        <v>58</v>
      </c>
      <c r="R8" s="44" t="s">
        <v>59</v>
      </c>
    </row>
    <row r="9" spans="1:18" ht="82.8" x14ac:dyDescent="0.3">
      <c r="A9" s="6"/>
      <c r="B9" s="2" t="s">
        <v>60</v>
      </c>
      <c r="C9" s="2" t="s">
        <v>61</v>
      </c>
      <c r="D9" s="1"/>
      <c r="E9" s="2" t="s">
        <v>62</v>
      </c>
      <c r="F9" s="2" t="s">
        <v>63</v>
      </c>
      <c r="G9" s="1" t="s">
        <v>11</v>
      </c>
      <c r="H9" s="1" t="s">
        <v>17</v>
      </c>
      <c r="I9" s="1" t="s">
        <v>3</v>
      </c>
      <c r="J9" s="1"/>
      <c r="K9" s="2" t="s">
        <v>64</v>
      </c>
      <c r="L9" s="1"/>
      <c r="M9" s="1"/>
      <c r="N9" s="7"/>
      <c r="O9" s="46" t="s">
        <v>65</v>
      </c>
      <c r="P9" s="57" t="s">
        <v>66</v>
      </c>
      <c r="Q9" s="44" t="s">
        <v>67</v>
      </c>
      <c r="R9" s="44" t="s">
        <v>68</v>
      </c>
    </row>
    <row r="10" spans="1:18" ht="37.5" customHeight="1" x14ac:dyDescent="0.3">
      <c r="A10" s="5"/>
      <c r="B10" s="2" t="s">
        <v>69</v>
      </c>
      <c r="C10" s="1" t="s">
        <v>70</v>
      </c>
      <c r="D10" s="18" t="s">
        <v>71</v>
      </c>
      <c r="E10" s="2" t="s">
        <v>72</v>
      </c>
      <c r="F10" s="2" t="s">
        <v>72</v>
      </c>
      <c r="G10" s="1" t="s">
        <v>12</v>
      </c>
      <c r="H10" s="1" t="s">
        <v>73</v>
      </c>
      <c r="I10" s="1" t="s">
        <v>1</v>
      </c>
      <c r="J10" s="1" t="s">
        <v>74</v>
      </c>
      <c r="K10" s="2" t="s">
        <v>75</v>
      </c>
      <c r="L10" s="1"/>
      <c r="M10" s="1"/>
      <c r="N10" s="7"/>
      <c r="O10" s="47" t="s">
        <v>76</v>
      </c>
      <c r="P10" s="57" t="s">
        <v>193</v>
      </c>
      <c r="Q10" s="44" t="s">
        <v>77</v>
      </c>
      <c r="R10" s="44" t="s">
        <v>78</v>
      </c>
    </row>
    <row r="11" spans="1:18" ht="27.6" x14ac:dyDescent="0.3">
      <c r="A11" s="5"/>
      <c r="B11" s="58" t="s">
        <v>79</v>
      </c>
      <c r="C11" s="1" t="s">
        <v>14</v>
      </c>
      <c r="D11" s="1"/>
      <c r="E11" s="2" t="s">
        <v>80</v>
      </c>
      <c r="F11" s="25" t="s">
        <v>81</v>
      </c>
      <c r="G11" s="26" t="s">
        <v>14</v>
      </c>
      <c r="H11" s="1" t="s">
        <v>14</v>
      </c>
      <c r="I11" s="1" t="s">
        <v>3</v>
      </c>
      <c r="J11" s="1"/>
      <c r="K11" s="2"/>
      <c r="L11" s="1"/>
      <c r="M11" s="1"/>
      <c r="N11" s="7"/>
      <c r="O11" s="47" t="s">
        <v>76</v>
      </c>
      <c r="P11" s="57" t="s">
        <v>193</v>
      </c>
      <c r="Q11" s="44" t="s">
        <v>82</v>
      </c>
      <c r="R11" s="44" t="s">
        <v>83</v>
      </c>
    </row>
    <row r="12" spans="1:18" ht="13.8" x14ac:dyDescent="0.3">
      <c r="A12" s="6"/>
      <c r="B12" s="2"/>
      <c r="C12" s="1"/>
      <c r="D12" s="1"/>
      <c r="E12" s="1"/>
      <c r="F12" s="2"/>
      <c r="G12" s="1"/>
      <c r="H12" s="1"/>
      <c r="I12" s="1"/>
      <c r="J12" s="1"/>
      <c r="K12" s="2"/>
      <c r="L12" s="1"/>
      <c r="M12" s="1"/>
      <c r="N12" s="7"/>
      <c r="O12" s="47"/>
      <c r="P12" s="27"/>
      <c r="Q12" s="44"/>
      <c r="R12" s="44"/>
    </row>
    <row r="13" spans="1:18" ht="28.8" x14ac:dyDescent="0.3">
      <c r="A13" s="11" t="s">
        <v>84</v>
      </c>
      <c r="B13" s="13" t="s">
        <v>85</v>
      </c>
      <c r="C13" s="14"/>
      <c r="D13" s="14"/>
      <c r="E13" s="14"/>
      <c r="F13" s="14"/>
      <c r="G13" s="14"/>
      <c r="H13" s="14"/>
      <c r="I13" s="14"/>
      <c r="J13" s="14"/>
      <c r="K13" s="37"/>
      <c r="L13" s="14"/>
      <c r="M13" s="14"/>
      <c r="N13" s="17"/>
      <c r="O13" s="1"/>
      <c r="P13" s="1"/>
    </row>
    <row r="14" spans="1:18" ht="41.4" x14ac:dyDescent="0.3">
      <c r="A14" s="6"/>
      <c r="B14" s="2" t="s">
        <v>188</v>
      </c>
      <c r="C14" s="1"/>
      <c r="D14" s="1"/>
      <c r="E14" s="1"/>
      <c r="F14" s="1"/>
      <c r="G14" s="1" t="s">
        <v>11</v>
      </c>
      <c r="H14" s="1" t="s">
        <v>40</v>
      </c>
      <c r="I14" s="1" t="s">
        <v>1</v>
      </c>
      <c r="J14" s="1"/>
      <c r="K14" s="51" t="s">
        <v>86</v>
      </c>
      <c r="L14" s="1"/>
      <c r="M14" s="1"/>
      <c r="N14" s="7"/>
      <c r="O14" s="45" t="s">
        <v>42</v>
      </c>
      <c r="Q14" s="44" t="s">
        <v>87</v>
      </c>
      <c r="R14" s="44" t="s">
        <v>88</v>
      </c>
    </row>
    <row r="15" spans="1:18" ht="110.4" x14ac:dyDescent="0.3">
      <c r="A15" s="6"/>
      <c r="B15" s="2" t="s">
        <v>89</v>
      </c>
      <c r="C15" s="2" t="s">
        <v>90</v>
      </c>
      <c r="D15" s="1"/>
      <c r="E15" s="2" t="s">
        <v>91</v>
      </c>
      <c r="F15" s="2" t="s">
        <v>92</v>
      </c>
      <c r="G15" s="1" t="s">
        <v>12</v>
      </c>
      <c r="H15" s="1" t="s">
        <v>14</v>
      </c>
      <c r="I15" s="1" t="s">
        <v>3</v>
      </c>
      <c r="J15" s="1"/>
      <c r="K15" s="2" t="s">
        <v>93</v>
      </c>
      <c r="L15" s="1"/>
      <c r="M15" s="1"/>
      <c r="N15" s="7"/>
      <c r="O15" s="56" t="s">
        <v>189</v>
      </c>
      <c r="P15" s="27"/>
      <c r="Q15" s="44" t="s">
        <v>94</v>
      </c>
      <c r="R15" s="44" t="s">
        <v>95</v>
      </c>
    </row>
    <row r="16" spans="1:18" ht="41.4" x14ac:dyDescent="0.3">
      <c r="A16" s="6"/>
      <c r="B16" s="27" t="s">
        <v>96</v>
      </c>
      <c r="C16" s="3" t="s">
        <v>97</v>
      </c>
      <c r="D16" s="1"/>
      <c r="E16" s="1"/>
      <c r="F16" s="2" t="s">
        <v>98</v>
      </c>
      <c r="G16" s="1" t="s">
        <v>11</v>
      </c>
      <c r="H16" s="1" t="s">
        <v>17</v>
      </c>
      <c r="I16" s="1" t="s">
        <v>3</v>
      </c>
      <c r="J16" s="1"/>
      <c r="K16" s="2"/>
      <c r="L16" s="1"/>
      <c r="M16" s="1"/>
      <c r="N16" s="7"/>
      <c r="O16" s="47" t="s">
        <v>76</v>
      </c>
      <c r="P16" s="57" t="s">
        <v>99</v>
      </c>
      <c r="Q16" s="44" t="s">
        <v>100</v>
      </c>
      <c r="R16" s="44"/>
    </row>
    <row r="17" spans="1:18" ht="39.6" x14ac:dyDescent="0.3">
      <c r="A17" s="29"/>
      <c r="B17" s="23" t="s">
        <v>101</v>
      </c>
      <c r="C17" s="23"/>
      <c r="D17" s="23"/>
      <c r="E17" s="23"/>
      <c r="F17" s="23"/>
      <c r="G17" s="23"/>
      <c r="H17" s="23"/>
      <c r="I17" s="23"/>
      <c r="J17" s="23"/>
      <c r="K17" s="22"/>
      <c r="L17" s="23"/>
      <c r="M17" s="23"/>
      <c r="N17" s="24"/>
      <c r="O17" s="43" t="s">
        <v>36</v>
      </c>
      <c r="P17" s="57" t="s">
        <v>102</v>
      </c>
      <c r="Q17" s="44" t="s">
        <v>103</v>
      </c>
      <c r="R17" s="44" t="s">
        <v>104</v>
      </c>
    </row>
    <row r="18" spans="1:18" ht="25.5" customHeight="1" x14ac:dyDescent="0.3">
      <c r="A18" s="30" t="s">
        <v>105</v>
      </c>
      <c r="B18" s="31" t="s">
        <v>106</v>
      </c>
      <c r="C18" s="32"/>
      <c r="D18" s="32"/>
      <c r="E18" s="32"/>
      <c r="F18" s="32"/>
      <c r="G18" s="32"/>
      <c r="H18" s="32"/>
      <c r="I18" s="32"/>
      <c r="J18" s="32"/>
      <c r="K18" s="53"/>
      <c r="L18" s="32"/>
      <c r="M18" s="32"/>
      <c r="N18" s="33"/>
      <c r="O18" s="45" t="s">
        <v>42</v>
      </c>
      <c r="P18" s="1"/>
    </row>
    <row r="19" spans="1:18" ht="82.8" x14ac:dyDescent="0.3">
      <c r="A19" s="1"/>
      <c r="B19" s="2" t="s">
        <v>107</v>
      </c>
      <c r="C19" s="1"/>
      <c r="D19" s="1"/>
      <c r="E19" s="1"/>
      <c r="F19" s="2" t="s">
        <v>108</v>
      </c>
      <c r="G19" s="1" t="s">
        <v>11</v>
      </c>
      <c r="H19" s="1" t="s">
        <v>17</v>
      </c>
      <c r="I19" s="1" t="s">
        <v>1</v>
      </c>
      <c r="J19" s="1"/>
      <c r="K19" s="2"/>
      <c r="L19" s="1"/>
      <c r="M19" s="1"/>
      <c r="N19" s="7"/>
      <c r="O19" s="1"/>
      <c r="P19" s="56" t="s">
        <v>194</v>
      </c>
      <c r="Q19" s="44" t="s">
        <v>109</v>
      </c>
      <c r="R19" s="44" t="s">
        <v>110</v>
      </c>
    </row>
    <row r="20" spans="1:18" ht="27.6" x14ac:dyDescent="0.3">
      <c r="A20" s="6"/>
      <c r="B20" s="2" t="s">
        <v>18</v>
      </c>
      <c r="C20" s="1"/>
      <c r="D20" s="1"/>
      <c r="E20" s="1"/>
      <c r="F20" s="2" t="s">
        <v>111</v>
      </c>
      <c r="G20" s="1" t="s">
        <v>11</v>
      </c>
      <c r="H20" s="1" t="s">
        <v>4</v>
      </c>
      <c r="I20" s="1" t="s">
        <v>3</v>
      </c>
      <c r="J20" s="1" t="s">
        <v>112</v>
      </c>
      <c r="K20" s="2"/>
      <c r="L20" s="1"/>
      <c r="M20" s="1"/>
      <c r="N20" s="7"/>
      <c r="O20" s="43" t="s">
        <v>36</v>
      </c>
      <c r="P20" s="27"/>
      <c r="Q20" s="44" t="s">
        <v>113</v>
      </c>
      <c r="R20" s="44" t="s">
        <v>114</v>
      </c>
    </row>
    <row r="21" spans="1:18" ht="13.8" x14ac:dyDescent="0.3">
      <c r="A21" s="21"/>
      <c r="B21" s="22"/>
      <c r="C21" s="23"/>
      <c r="D21" s="23"/>
      <c r="E21" s="23"/>
      <c r="F21" s="23"/>
      <c r="G21" s="23"/>
      <c r="H21" s="23"/>
      <c r="I21" s="23"/>
      <c r="J21" s="23"/>
      <c r="K21" s="22"/>
      <c r="L21" s="23"/>
      <c r="M21" s="23"/>
      <c r="N21" s="24"/>
      <c r="O21" s="47" t="s">
        <v>76</v>
      </c>
      <c r="P21" s="1"/>
    </row>
    <row r="22" spans="1:18" ht="28.8" x14ac:dyDescent="0.3">
      <c r="A22" s="30" t="s">
        <v>115</v>
      </c>
      <c r="B22" s="34" t="s">
        <v>116</v>
      </c>
      <c r="C22" s="32"/>
      <c r="D22" s="32"/>
      <c r="E22" s="32"/>
      <c r="F22" s="32"/>
      <c r="G22" s="32"/>
      <c r="H22" s="32"/>
      <c r="I22" s="32"/>
      <c r="J22" s="32"/>
      <c r="K22" s="53"/>
      <c r="L22" s="32"/>
      <c r="M22" s="32"/>
      <c r="N22" s="33"/>
      <c r="O22" s="1"/>
      <c r="P22" s="1"/>
    </row>
    <row r="23" spans="1:18" ht="32.25" customHeight="1" x14ac:dyDescent="0.3">
      <c r="A23" s="6"/>
      <c r="B23" s="35" t="s">
        <v>117</v>
      </c>
      <c r="C23" s="4" t="s">
        <v>118</v>
      </c>
      <c r="D23" s="1"/>
      <c r="E23" s="1"/>
      <c r="F23" s="2" t="s">
        <v>119</v>
      </c>
      <c r="G23" s="1" t="s">
        <v>12</v>
      </c>
      <c r="H23" s="1" t="s">
        <v>14</v>
      </c>
      <c r="I23" s="1" t="s">
        <v>120</v>
      </c>
      <c r="J23" s="1"/>
      <c r="K23" s="2"/>
      <c r="L23" s="1"/>
      <c r="M23" s="1"/>
      <c r="N23" s="7"/>
      <c r="O23" s="1"/>
      <c r="P23" s="27"/>
      <c r="Q23" s="44" t="s">
        <v>121</v>
      </c>
      <c r="R23" s="44" t="s">
        <v>122</v>
      </c>
    </row>
    <row r="24" spans="1:18" ht="26.4" x14ac:dyDescent="0.3">
      <c r="A24" s="6"/>
      <c r="B24" s="35" t="s">
        <v>123</v>
      </c>
      <c r="C24" s="1" t="s">
        <v>124</v>
      </c>
      <c r="D24" s="1"/>
      <c r="E24" s="1"/>
      <c r="F24" s="1" t="s">
        <v>125</v>
      </c>
      <c r="G24" s="1" t="s">
        <v>11</v>
      </c>
      <c r="H24" s="1" t="s">
        <v>13</v>
      </c>
      <c r="I24" s="1" t="s">
        <v>1</v>
      </c>
      <c r="J24" s="1"/>
      <c r="K24" s="2"/>
      <c r="L24" s="1"/>
      <c r="M24" s="1"/>
      <c r="N24" s="7"/>
      <c r="O24" s="47" t="s">
        <v>76</v>
      </c>
      <c r="P24" s="57" t="s">
        <v>126</v>
      </c>
      <c r="Q24" s="44" t="s">
        <v>127</v>
      </c>
      <c r="R24" s="44"/>
    </row>
    <row r="25" spans="1:18" ht="26.4" x14ac:dyDescent="0.3">
      <c r="A25" s="6"/>
      <c r="B25" s="2" t="s">
        <v>128</v>
      </c>
      <c r="C25" s="1"/>
      <c r="D25" s="1"/>
      <c r="E25" s="1"/>
      <c r="F25" s="1" t="s">
        <v>129</v>
      </c>
      <c r="G25" s="1" t="s">
        <v>11</v>
      </c>
      <c r="H25" s="1" t="s">
        <v>130</v>
      </c>
      <c r="I25" s="1" t="s">
        <v>3</v>
      </c>
      <c r="J25" s="1"/>
      <c r="K25" s="2"/>
      <c r="L25" s="1"/>
      <c r="M25" s="1"/>
      <c r="N25" s="7"/>
      <c r="O25" s="43" t="s">
        <v>36</v>
      </c>
      <c r="P25" s="27"/>
      <c r="Q25" s="44" t="s">
        <v>131</v>
      </c>
      <c r="R25" s="44" t="s">
        <v>132</v>
      </c>
    </row>
    <row r="26" spans="1:18" ht="43.2" x14ac:dyDescent="0.3">
      <c r="A26" s="11" t="s">
        <v>133</v>
      </c>
      <c r="B26" s="38" t="s">
        <v>134</v>
      </c>
      <c r="C26" s="14"/>
      <c r="D26" s="14"/>
      <c r="E26" s="14"/>
      <c r="F26" s="14"/>
      <c r="G26" s="14"/>
      <c r="H26" s="14"/>
      <c r="I26" s="14"/>
      <c r="J26" s="14"/>
      <c r="K26" s="37"/>
      <c r="L26" s="14"/>
      <c r="M26" s="14"/>
      <c r="N26" s="17"/>
      <c r="O26" s="47" t="s">
        <v>76</v>
      </c>
      <c r="P26" s="1"/>
    </row>
    <row r="27" spans="1:18" ht="27.6" x14ac:dyDescent="0.3">
      <c r="A27" s="6"/>
      <c r="B27" s="1" t="s">
        <v>135</v>
      </c>
      <c r="C27" s="3" t="s">
        <v>136</v>
      </c>
      <c r="D27" s="1"/>
      <c r="E27" s="1" t="s">
        <v>2</v>
      </c>
      <c r="F27" s="2" t="s">
        <v>137</v>
      </c>
      <c r="G27" s="1" t="s">
        <v>11</v>
      </c>
      <c r="H27" s="1" t="s">
        <v>13</v>
      </c>
      <c r="I27" s="1" t="s">
        <v>138</v>
      </c>
      <c r="J27" s="1" t="s">
        <v>139</v>
      </c>
      <c r="L27" s="1"/>
      <c r="M27" s="1"/>
      <c r="N27" s="7"/>
      <c r="O27" s="1"/>
      <c r="P27" s="27"/>
      <c r="Q27" s="44" t="s">
        <v>140</v>
      </c>
      <c r="R27" s="44" t="s">
        <v>141</v>
      </c>
    </row>
    <row r="28" spans="1:18" ht="47.25" customHeight="1" x14ac:dyDescent="0.3">
      <c r="A28" s="6"/>
      <c r="B28" s="2" t="s">
        <v>142</v>
      </c>
      <c r="C28" s="39" t="s">
        <v>143</v>
      </c>
      <c r="D28" s="3" t="s">
        <v>144</v>
      </c>
      <c r="E28" s="1" t="s">
        <v>145</v>
      </c>
      <c r="F28" s="2" t="s">
        <v>146</v>
      </c>
      <c r="G28" s="1" t="s">
        <v>11</v>
      </c>
      <c r="H28" s="36" t="s">
        <v>13</v>
      </c>
      <c r="I28" s="1" t="s">
        <v>1</v>
      </c>
      <c r="J28" s="1"/>
      <c r="L28" s="1"/>
      <c r="M28" s="1"/>
      <c r="N28" s="7"/>
      <c r="O28" s="47" t="s">
        <v>76</v>
      </c>
      <c r="P28" s="27"/>
      <c r="Q28" s="44" t="s">
        <v>147</v>
      </c>
      <c r="R28" s="44" t="s">
        <v>148</v>
      </c>
    </row>
    <row r="29" spans="1:18" ht="43.2" x14ac:dyDescent="0.3">
      <c r="A29" s="11" t="s">
        <v>149</v>
      </c>
      <c r="B29" s="38" t="s">
        <v>150</v>
      </c>
      <c r="C29" s="14"/>
      <c r="D29" s="14"/>
      <c r="E29" s="14"/>
      <c r="F29" s="14"/>
      <c r="G29" s="14"/>
      <c r="H29" s="14"/>
      <c r="I29" s="14"/>
      <c r="J29" s="14"/>
      <c r="K29" s="55"/>
      <c r="L29" s="14"/>
      <c r="M29" s="14"/>
      <c r="N29" s="17"/>
      <c r="O29" s="47" t="s">
        <v>76</v>
      </c>
      <c r="P29" s="1"/>
    </row>
    <row r="30" spans="1:18" ht="85.2" customHeight="1" x14ac:dyDescent="0.3">
      <c r="A30" s="6"/>
      <c r="B30" s="59" t="s">
        <v>151</v>
      </c>
      <c r="C30" s="2"/>
      <c r="D30" s="3" t="s">
        <v>144</v>
      </c>
      <c r="E30" s="1"/>
      <c r="F30" s="2" t="s">
        <v>137</v>
      </c>
      <c r="G30" s="1" t="s">
        <v>11</v>
      </c>
      <c r="H30" s="36" t="s">
        <v>13</v>
      </c>
      <c r="I30" s="1" t="s">
        <v>138</v>
      </c>
      <c r="J30" s="1"/>
      <c r="L30" s="1"/>
      <c r="M30" s="1"/>
      <c r="N30" s="7"/>
      <c r="O30" s="1"/>
      <c r="P30" s="56" t="s">
        <v>190</v>
      </c>
      <c r="Q30" s="44" t="s">
        <v>152</v>
      </c>
      <c r="R30" s="44" t="s">
        <v>153</v>
      </c>
    </row>
    <row r="31" spans="1:18" ht="31.5" customHeight="1" x14ac:dyDescent="0.3">
      <c r="A31" s="6"/>
      <c r="B31" s="59" t="s">
        <v>154</v>
      </c>
      <c r="C31" s="2"/>
      <c r="D31" s="3" t="s">
        <v>144</v>
      </c>
      <c r="E31" s="1"/>
      <c r="F31" s="2" t="s">
        <v>137</v>
      </c>
      <c r="G31" s="1" t="s">
        <v>11</v>
      </c>
      <c r="H31" s="36" t="s">
        <v>13</v>
      </c>
      <c r="I31" s="1" t="s">
        <v>138</v>
      </c>
      <c r="J31" s="1"/>
      <c r="L31" s="1"/>
      <c r="M31" s="1"/>
      <c r="N31" s="7"/>
      <c r="O31" s="46" t="s">
        <v>65</v>
      </c>
      <c r="P31" s="27"/>
      <c r="Q31" s="44" t="s">
        <v>155</v>
      </c>
      <c r="R31" s="44" t="s">
        <v>156</v>
      </c>
    </row>
    <row r="32" spans="1:18" ht="96.6" x14ac:dyDescent="0.3">
      <c r="A32" s="6"/>
      <c r="B32" s="58" t="s">
        <v>157</v>
      </c>
      <c r="C32" s="18" t="s">
        <v>158</v>
      </c>
      <c r="D32" s="3" t="s">
        <v>159</v>
      </c>
      <c r="E32" s="2" t="s">
        <v>160</v>
      </c>
      <c r="F32" s="2" t="s">
        <v>161</v>
      </c>
      <c r="G32" s="1" t="s">
        <v>12</v>
      </c>
      <c r="H32" s="36" t="s">
        <v>162</v>
      </c>
      <c r="I32" s="1" t="s">
        <v>3</v>
      </c>
      <c r="J32" s="1"/>
      <c r="L32" s="1"/>
      <c r="M32" s="1"/>
      <c r="N32" s="7"/>
      <c r="O32" s="47" t="s">
        <v>76</v>
      </c>
      <c r="P32" s="27"/>
      <c r="Q32" s="44" t="s">
        <v>163</v>
      </c>
      <c r="R32" s="44" t="s">
        <v>164</v>
      </c>
    </row>
    <row r="33" spans="1:18" ht="27.6" x14ac:dyDescent="0.3">
      <c r="A33" s="5"/>
      <c r="B33" s="40" t="s">
        <v>165</v>
      </c>
      <c r="C33" s="1"/>
      <c r="D33" s="1"/>
      <c r="E33" s="1"/>
      <c r="F33" s="2" t="s">
        <v>166</v>
      </c>
      <c r="G33" s="1" t="s">
        <v>167</v>
      </c>
      <c r="I33" s="1" t="s">
        <v>3</v>
      </c>
      <c r="J33" s="1"/>
      <c r="K33" s="2"/>
      <c r="L33" s="1"/>
      <c r="M33" s="1"/>
      <c r="N33" s="7"/>
      <c r="O33" s="47" t="s">
        <v>76</v>
      </c>
      <c r="P33" s="27"/>
      <c r="Q33" s="44" t="s">
        <v>168</v>
      </c>
      <c r="R33" s="44" t="s">
        <v>169</v>
      </c>
    </row>
    <row r="34" spans="1:18" ht="13.8" x14ac:dyDescent="0.3">
      <c r="A34" s="6"/>
      <c r="C34" s="1"/>
      <c r="D34" s="1"/>
      <c r="E34" s="1"/>
      <c r="F34" s="1"/>
      <c r="G34" s="1"/>
      <c r="H34" s="1"/>
      <c r="I34" s="1"/>
      <c r="J34" s="1"/>
      <c r="K34" s="2"/>
      <c r="L34" s="1"/>
      <c r="M34" s="1"/>
      <c r="N34" s="7"/>
      <c r="O34" s="47" t="s">
        <v>76</v>
      </c>
      <c r="P34" s="1"/>
    </row>
    <row r="35" spans="1:18" ht="69" x14ac:dyDescent="0.3">
      <c r="A35" s="20" t="s">
        <v>19</v>
      </c>
      <c r="B35" s="14"/>
      <c r="C35" s="14"/>
      <c r="D35" s="14"/>
      <c r="E35" s="14"/>
      <c r="F35" s="14"/>
      <c r="G35" s="14"/>
      <c r="H35" s="14"/>
      <c r="I35" s="14"/>
      <c r="J35" s="14"/>
      <c r="K35" s="37"/>
      <c r="L35" s="14"/>
      <c r="M35" s="14"/>
      <c r="N35" s="17"/>
      <c r="O35" s="1"/>
      <c r="P35" s="27" t="s">
        <v>170</v>
      </c>
      <c r="Q35" s="44" t="s">
        <v>171</v>
      </c>
      <c r="R35" s="44"/>
    </row>
    <row r="36" spans="1:18" ht="14.4" x14ac:dyDescent="0.3">
      <c r="A36" s="28"/>
      <c r="B36" s="2"/>
      <c r="C36" s="1"/>
      <c r="D36" s="1"/>
      <c r="E36" s="1"/>
      <c r="F36" s="1"/>
      <c r="G36" s="1"/>
      <c r="H36" s="1"/>
      <c r="I36" s="1"/>
      <c r="J36" s="1"/>
      <c r="K36" s="2"/>
      <c r="L36" s="1"/>
      <c r="M36" s="1"/>
      <c r="N36" s="7"/>
      <c r="O36" s="43" t="s">
        <v>36</v>
      </c>
      <c r="P36" s="1"/>
    </row>
    <row r="37" spans="1:18" ht="13.8" x14ac:dyDescent="0.3">
      <c r="A37" s="6"/>
      <c r="B37" s="2"/>
      <c r="C37" s="1"/>
      <c r="D37" s="1"/>
      <c r="E37" s="1"/>
      <c r="F37" s="1"/>
      <c r="G37" s="1"/>
      <c r="H37" s="1"/>
      <c r="I37" s="1"/>
      <c r="J37" s="1"/>
      <c r="K37" s="2"/>
      <c r="L37" s="1"/>
      <c r="M37" s="1"/>
      <c r="N37" s="7"/>
      <c r="O37" s="1"/>
      <c r="P37" s="1"/>
    </row>
    <row r="38" spans="1:18" ht="13.8" x14ac:dyDescent="0.3">
      <c r="A38" s="5"/>
      <c r="B38" s="1"/>
      <c r="C38" s="1"/>
      <c r="D38" s="1"/>
      <c r="E38" s="1"/>
      <c r="F38" s="1"/>
      <c r="G38" s="1"/>
      <c r="H38" s="1"/>
      <c r="I38" s="1"/>
      <c r="J38" s="1"/>
      <c r="K38" s="2"/>
      <c r="L38" s="1"/>
      <c r="M38" s="1"/>
      <c r="N38" s="7"/>
      <c r="O38" s="1"/>
      <c r="P38" s="1"/>
    </row>
    <row r="39" spans="1:18" ht="13.8" x14ac:dyDescent="0.3">
      <c r="A39" s="29"/>
      <c r="B39" s="41" t="s">
        <v>118</v>
      </c>
      <c r="C39" s="23"/>
      <c r="D39" s="23"/>
      <c r="E39" s="23"/>
      <c r="F39" s="23"/>
      <c r="G39" s="23"/>
      <c r="H39" s="23"/>
      <c r="I39" s="23"/>
      <c r="J39" s="23"/>
      <c r="K39" s="22"/>
      <c r="L39" s="23"/>
      <c r="M39" s="23"/>
      <c r="N39" s="24"/>
      <c r="O39" s="1"/>
      <c r="P39" s="1"/>
    </row>
    <row r="40" spans="1:18" ht="13.8" x14ac:dyDescent="0.3">
      <c r="A40" s="1"/>
      <c r="B40" s="1"/>
      <c r="C40" s="1"/>
      <c r="D40" s="1"/>
      <c r="E40" s="1"/>
      <c r="F40" s="1"/>
      <c r="G40" s="1"/>
      <c r="H40" s="1"/>
      <c r="I40" s="1"/>
      <c r="J40" s="1"/>
      <c r="K40" s="2"/>
      <c r="L40" s="1"/>
      <c r="M40" s="1"/>
      <c r="N40" s="1"/>
      <c r="O40" s="1"/>
      <c r="P40" s="1"/>
    </row>
    <row r="41" spans="1:18" ht="13.8" x14ac:dyDescent="0.3">
      <c r="A41" s="1"/>
      <c r="B41" s="1"/>
      <c r="C41" s="1"/>
      <c r="D41" s="1"/>
      <c r="E41" s="1"/>
      <c r="F41" s="1"/>
      <c r="G41" s="1"/>
      <c r="H41" s="1"/>
      <c r="I41" s="1"/>
      <c r="J41" s="1"/>
      <c r="K41" s="2"/>
      <c r="L41" s="1"/>
      <c r="M41" s="1"/>
      <c r="N41" s="1"/>
      <c r="O41" s="1"/>
      <c r="P41" s="1"/>
    </row>
    <row r="42" spans="1:18" ht="13.8" x14ac:dyDescent="0.3">
      <c r="A42" s="1"/>
      <c r="B42" s="1"/>
      <c r="C42" s="1"/>
      <c r="D42" s="1"/>
      <c r="E42" s="1"/>
      <c r="F42" s="1"/>
      <c r="G42" s="1"/>
      <c r="H42" s="1"/>
      <c r="I42" s="1"/>
      <c r="J42" s="1"/>
      <c r="K42" s="2"/>
      <c r="L42" s="1"/>
      <c r="M42" s="1"/>
      <c r="N42" s="1"/>
      <c r="O42" s="1"/>
      <c r="P42" s="1"/>
    </row>
    <row r="43" spans="1:18" ht="13.8" x14ac:dyDescent="0.3">
      <c r="A43" s="1"/>
      <c r="B43" s="1"/>
      <c r="C43" s="1"/>
      <c r="D43" s="1"/>
      <c r="E43" s="1"/>
      <c r="F43" s="1"/>
      <c r="G43" s="1"/>
      <c r="H43" s="1"/>
      <c r="I43" s="1"/>
      <c r="J43" s="1"/>
      <c r="K43" s="2"/>
      <c r="L43" s="1"/>
      <c r="M43" s="1"/>
      <c r="N43" s="1"/>
      <c r="O43" s="1"/>
      <c r="P43" s="1"/>
    </row>
    <row r="44" spans="1:18" ht="13.8" x14ac:dyDescent="0.3">
      <c r="A44" s="1"/>
      <c r="B44" s="1"/>
      <c r="C44" s="1"/>
      <c r="D44" s="1"/>
      <c r="E44" s="1"/>
      <c r="F44" s="1"/>
      <c r="G44" s="1"/>
      <c r="H44" s="1"/>
      <c r="I44" s="1"/>
      <c r="J44" s="1"/>
      <c r="K44" s="2"/>
      <c r="L44" s="1"/>
      <c r="M44" s="1"/>
      <c r="N44" s="1"/>
      <c r="O44" s="1"/>
      <c r="P44" s="1"/>
    </row>
    <row r="45" spans="1:18" ht="13.8" x14ac:dyDescent="0.3">
      <c r="A45" s="1"/>
      <c r="B45" s="1"/>
      <c r="C45" s="1"/>
      <c r="D45" s="1"/>
      <c r="E45" s="1"/>
      <c r="F45" s="1"/>
      <c r="G45" s="1"/>
      <c r="H45" s="1"/>
      <c r="I45" s="1"/>
      <c r="J45" s="1"/>
      <c r="K45" s="2"/>
      <c r="L45" s="1"/>
      <c r="M45" s="1"/>
      <c r="N45" s="1"/>
      <c r="O45" s="1"/>
      <c r="P45" s="1"/>
    </row>
    <row r="46" spans="1:18" ht="13.8" x14ac:dyDescent="0.3">
      <c r="A46" s="1"/>
      <c r="B46" s="1"/>
      <c r="C46" s="1"/>
      <c r="D46" s="1"/>
      <c r="E46" s="1"/>
      <c r="F46" s="1"/>
      <c r="G46" s="1"/>
      <c r="H46" s="1"/>
      <c r="I46" s="1"/>
      <c r="J46" s="1"/>
      <c r="K46" s="2"/>
      <c r="L46" s="1"/>
      <c r="M46" s="1"/>
      <c r="N46" s="1"/>
      <c r="O46" s="1"/>
      <c r="P46" s="1"/>
    </row>
    <row r="47" spans="1:18" ht="15.75" customHeight="1" x14ac:dyDescent="0.3">
      <c r="O47" s="1"/>
    </row>
  </sheetData>
  <conditionalFormatting sqref="G5:G12 G14:G16 G19:G20 G23:G25 G27:G28 G30:G33 J32">
    <cfRule type="containsText" dxfId="17" priority="12" operator="containsText" text="medium">
      <formula>NOT(ISERROR(SEARCH(("medium"),(G5))))</formula>
    </cfRule>
    <cfRule type="containsText" dxfId="16" priority="13" operator="containsText" text="med-low">
      <formula>NOT(ISERROR(SEARCH(("med-low"),(G5))))</formula>
    </cfRule>
    <cfRule type="containsText" dxfId="15" priority="14" operator="containsText" text="low">
      <formula>NOT(ISERROR(SEARCH(("low"),(G5))))</formula>
    </cfRule>
  </conditionalFormatting>
  <conditionalFormatting sqref="G11">
    <cfRule type="containsText" dxfId="14" priority="15" operator="containsText" text="?">
      <formula>NOT(ISERROR(SEARCH(("?"),(G11))))</formula>
    </cfRule>
  </conditionalFormatting>
  <conditionalFormatting sqref="G33">
    <cfRule type="containsText" dxfId="13" priority="18" operator="containsText" text="remove?">
      <formula>NOT(ISERROR(SEARCH(("remove?"),(G33))))</formula>
    </cfRule>
  </conditionalFormatting>
  <conditionalFormatting sqref="I5:I11 J9 I14:I16 I19:I20 I24:I25 K27:K28 I27:I33 K30:K32 J32">
    <cfRule type="containsText" dxfId="12" priority="1" operator="containsText" text="ready / in use">
      <formula>NOT(ISERROR(SEARCH(("ready / in use"),(I5))))</formula>
    </cfRule>
    <cfRule type="containsText" dxfId="11" priority="2" operator="containsText" text="not started">
      <formula>NOT(ISERROR(SEARCH(("not started"),(I5))))</formula>
    </cfRule>
    <cfRule type="containsText" dxfId="10" priority="3" operator="containsText" text="in progress">
      <formula>NOT(ISERROR(SEARCH(("in progress"),(I5))))</formula>
    </cfRule>
    <cfRule type="containsText" dxfId="9" priority="4" operator="containsText" text="draft">
      <formula>NOT(ISERROR(SEARCH(("draft"),(I5))))</formula>
    </cfRule>
    <cfRule type="containsText" dxfId="8" priority="5" operator="containsText" text="draft complete">
      <formula>NOT(ISERROR(SEARCH(("draft complete"),(I5))))</formula>
    </cfRule>
    <cfRule type="containsText" dxfId="7" priority="6" operator="containsText" text="revising">
      <formula>NOT(ISERROR(SEARCH(("revising"),(I5))))</formula>
    </cfRule>
    <cfRule type="containsText" dxfId="6" priority="7" operator="containsText" text="complete">
      <formula>NOT(ISERROR(SEARCH(("complete"),(I5))))</formula>
    </cfRule>
    <cfRule type="containsText" dxfId="5" priority="8" operator="containsText" text="done">
      <formula>NOT(ISERROR(SEARCH(("done"),(I5))))</formula>
    </cfRule>
    <cfRule type="containsText" dxfId="4" priority="9" operator="containsText" text="on the map">
      <formula>NOT(ISERROR(SEARCH(("on the map"),(I5))))</formula>
    </cfRule>
    <cfRule type="containsText" dxfId="3" priority="10" operator="containsText" text="review draft">
      <formula>NOT(ISERROR(SEARCH(("review draft"),(I5))))</formula>
    </cfRule>
  </conditionalFormatting>
  <conditionalFormatting sqref="I12">
    <cfRule type="containsText" dxfId="2" priority="17" operator="containsText" text="undecided">
      <formula>NOT(ISERROR(SEARCH(("undecided"),(I12))))</formula>
    </cfRule>
  </conditionalFormatting>
  <conditionalFormatting sqref="I23">
    <cfRule type="notContainsBlanks" dxfId="1" priority="16">
      <formula>LEN(TRIM(I23))&gt;0</formula>
    </cfRule>
  </conditionalFormatting>
  <conditionalFormatting sqref="J32 G5:G12 G14:G16 G19:G20 G23:G25 G27:G28 G30:G33">
    <cfRule type="containsText" dxfId="0" priority="11" operator="containsText" text="high">
      <formula>NOT(ISERROR(SEARCH(("high"),(G5))))</formula>
    </cfRule>
  </conditionalFormatting>
  <hyperlinks>
    <hyperlink ref="A1" r:id="rId1" xr:uid="{00000000-0004-0000-0300-000000000000}"/>
    <hyperlink ref="K7" r:id="rId2" xr:uid="{00000000-0004-0000-0300-000001000000}"/>
    <hyperlink ref="D10" r:id="rId3" xr:uid="{00000000-0004-0000-0300-000002000000}"/>
    <hyperlink ref="C16" r:id="rId4" xr:uid="{00000000-0004-0000-0300-000003000000}"/>
    <hyperlink ref="C23" r:id="rId5" xr:uid="{00000000-0004-0000-0300-000004000000}"/>
    <hyperlink ref="C27" r:id="rId6" xr:uid="{00000000-0004-0000-0300-000005000000}"/>
    <hyperlink ref="C28" r:id="rId7" xr:uid="{00000000-0004-0000-0300-000006000000}"/>
    <hyperlink ref="D28" r:id="rId8" xr:uid="{00000000-0004-0000-0300-000007000000}"/>
    <hyperlink ref="D30" r:id="rId9" xr:uid="{00000000-0004-0000-0300-000008000000}"/>
    <hyperlink ref="D31" r:id="rId10" xr:uid="{00000000-0004-0000-0300-000009000000}"/>
    <hyperlink ref="C32" r:id="rId11" xr:uid="{00000000-0004-0000-0300-00000A000000}"/>
    <hyperlink ref="D32" r:id="rId12" xr:uid="{00000000-0004-0000-0300-00000B000000}"/>
    <hyperlink ref="B39" r:id="rId13" xr:uid="{00000000-0004-0000-0300-00000C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B14" sqref="B14"/>
    </sheetView>
  </sheetViews>
  <sheetFormatPr defaultRowHeight="13.2" x14ac:dyDescent="0.25"/>
  <cols>
    <col min="1" max="1" width="30" customWidth="1"/>
    <col min="2" max="2" width="100" customWidth="1"/>
  </cols>
  <sheetData>
    <row r="1" spans="1:2" x14ac:dyDescent="0.25">
      <c r="A1" s="48" t="s">
        <v>172</v>
      </c>
      <c r="B1" s="44" t="s">
        <v>173</v>
      </c>
    </row>
    <row r="2" spans="1:2" x14ac:dyDescent="0.25">
      <c r="A2" s="44" t="s">
        <v>174</v>
      </c>
      <c r="B2" s="44" t="s">
        <v>175</v>
      </c>
    </row>
    <row r="3" spans="1:2" x14ac:dyDescent="0.25">
      <c r="A3" s="44"/>
      <c r="B3" s="44"/>
    </row>
    <row r="4" spans="1:2" x14ac:dyDescent="0.25">
      <c r="A4" s="48" t="s">
        <v>36</v>
      </c>
      <c r="B4" s="44" t="s">
        <v>176</v>
      </c>
    </row>
    <row r="5" spans="1:2" x14ac:dyDescent="0.25">
      <c r="A5" s="44" t="s">
        <v>65</v>
      </c>
      <c r="B5" s="44" t="s">
        <v>177</v>
      </c>
    </row>
    <row r="6" spans="1:2" x14ac:dyDescent="0.25">
      <c r="A6" s="44" t="s">
        <v>42</v>
      </c>
      <c r="B6" s="44" t="s">
        <v>178</v>
      </c>
    </row>
    <row r="7" spans="1:2" x14ac:dyDescent="0.25">
      <c r="A7" s="44" t="s">
        <v>76</v>
      </c>
      <c r="B7" s="44" t="s">
        <v>179</v>
      </c>
    </row>
    <row r="8" spans="1:2" x14ac:dyDescent="0.25">
      <c r="A8" s="44"/>
      <c r="B8" s="44"/>
    </row>
    <row r="9" spans="1:2" x14ac:dyDescent="0.25">
      <c r="A9" s="48" t="s">
        <v>180</v>
      </c>
      <c r="B9" s="44" t="s">
        <v>181</v>
      </c>
    </row>
    <row r="10" spans="1:2" x14ac:dyDescent="0.25">
      <c r="A10" s="44" t="s">
        <v>182</v>
      </c>
      <c r="B10" s="44" t="s">
        <v>183</v>
      </c>
    </row>
    <row r="11" spans="1:2" x14ac:dyDescent="0.25">
      <c r="A11" s="44"/>
      <c r="B11" s="44"/>
    </row>
    <row r="12" spans="1:2" x14ac:dyDescent="0.25">
      <c r="A12" s="44" t="s">
        <v>184</v>
      </c>
      <c r="B12" s="44" t="s">
        <v>185</v>
      </c>
    </row>
    <row r="13" spans="1:2" x14ac:dyDescent="0.25">
      <c r="A13" s="44"/>
      <c r="B13" s="44"/>
    </row>
    <row r="14" spans="1:2" ht="194.4" customHeight="1" x14ac:dyDescent="0.25">
      <c r="A14" s="48" t="s">
        <v>186</v>
      </c>
      <c r="B14" s="44"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Sector Map T+I</vt:lpstr>
      <vt:lpstr>Trip match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 sucu</cp:lastModifiedBy>
  <dcterms:created xsi:type="dcterms:W3CDTF">2026-09-30T14:43:40Z</dcterms:created>
  <dcterms:modified xsi:type="dcterms:W3CDTF">2026-09-30T18:10:36Z</dcterms:modified>
</cp:coreProperties>
</file>